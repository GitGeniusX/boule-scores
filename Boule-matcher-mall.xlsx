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ktioner" sheetId="1" state="visible" r:id="rId3"/>
    <sheet name="Apps Script-kod" sheetId="2" state="visible" r:id="rId4"/>
    <sheet name="Matcher" sheetId="3" state="visible" r:id="rId5"/>
    <sheet name="Sammanfattn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<sst xmlns="http://schemas.openxmlformats.org/spreadsheetml/2006/main" count="67" uniqueCount="61">
  <si>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 xml:space="preserve">Boule Score Tracker</t>
  </si>
  <si>
    <t xml:space="preserve">Setup-guide för din egen Google Sheet + Apps Script-webhook</t>
  </si>
  <si>
    <t xml:space="preserve">Så här använder du den här mallen</t>
  </si>
  <si>
    <t xml:space="preserve">1.  Ladda upp den här .xlsx-filen till din Google Drive.
2.  Högerklicka på filen → "Öppna med" → "Google Kalkylark".
3.  I Google Kalkylark: "Arkiv" → "Spara som Google Sheets" — du får en riktig Google-mall som är kopplad till ditt konto.
4.  Radera .xlsx-filen om du vill, den behövs inte längre.
5.  Följ stegen nedan för att koppla den till Boule-appen.</t>
  </si>
  <si>
    <t xml:space="preserve">Steg 1 — Öppna Apps Script</t>
  </si>
  <si>
    <t xml:space="preserve">I ditt nya Google Sheet: Menyn "Tillägg" → "Apps Script" (på engelska: Extensions → Apps Script).
Ett nytt Apps Script-projekt öppnas med en fil som heter Code.gs.
Radera allt innehåll i Code.gs.</t>
  </si>
  <si>
    <t xml:space="preserve">Steg 2 — Klistra in koden</t>
  </si>
  <si>
    <t xml:space="preserve">Öppna fliken "Apps Script-kod" i detta kalkylblad och kopiera ALL kod därifrån.
Klistra in i Code.gs. Klicka spara-ikonen (eller Ctrl/Cmd+S) och döp projektet till "Boule webhook".</t>
  </si>
  <si>
    <t xml:space="preserve">Steg 3 — Deploy som webbapp</t>
  </si>
  <si>
    <t xml:space="preserve">1.  I Apps Script: klicka "Deploy" (uppe till höger) → "New deployment".
2.  Klicka kugghjulet intill "Select type" → välj "Web app".
3.  Fyll i:
       • Description:  Boule webhook v1
       • Execute as:   Me  (din Google-adress)
       • Who has access:  Anyone   ← VIKTIGT, annars går det inte att posta
4.  Klicka "Deploy".
5.  Första gången frågar Google om behörigheter:
       • "Authorize access" → välj ditt konto
       • "Advanced" → "Go to Boule webhook (unsafe)" → "Allow"
     (det är ditt eget skript — "unsafe" betyder bara att Google inte granskat det)
6.  Kopiera "Web app URL" — den ser ut som:
       https://script.google.com/macros/s/AKfyc.../exec</t>
  </si>
  <si>
    <t xml:space="preserve">Steg 4 — Koppla Boule-appen</t>
  </si>
  <si>
    <t xml:space="preserve">1.  Öppna appen:  https://gitgeniusx.github.io/boule-scores/
2.  Klicka kugghjulet (inställningar) uppe till höger.
3.  Metod:  "Egen webhook-URL (t.ex. Google Apps Script)"
4.  Webhook-URL:  klistra in URL:en från steg 3.
5.  Sätt gärna en standardplats (t.ex. "Sexdrega gräsmatta").
6.  Bocka i "Använd telefonens plats (GPS) vid sparning" om du vill ha koordinater.
7.  Klicka Spara.</t>
  </si>
  <si>
    <t xml:space="preserve">Steg 5 — Testa</t>
  </si>
  <si>
    <t xml:space="preserve">Spela en snabb match i appen (höj målet till 11 via "Mål"-knappen för snabbtest).
När match är slut: klicka "Spara match".
Gå till fliken "Matcher" i detta Sheet — en rad ska dyka upp med all data.
Toasten "skickat till Google Sheet" i appen är normalt.</t>
  </si>
  <si>
    <t xml:space="preserve">Uppdatera skriptet senare (behåll samma URL)</t>
  </si>
  <si>
    <t xml:space="preserve">Apps Script ger en NY URL varje gång du gör "New deployment". För att behålla samma URL:
    Deploy → Manage deployments → pennan på befintlig deploy → Version: New version → Deploy.</t>
  </si>
  <si>
    <t xml:space="preserve">Felsökning</t>
  </si>
  <si>
    <t xml:space="preserve">• "HTTP 401" eller matchen sparas inte:  Deploy-inställningen "Who has access" är inte satt till "Anyone". Gör om Steg 3.
• Raden dyker inte upp:  kolla att du är i rätt Sheet — skriptet skriver till det Sheet det skapades i. Titta efter ett ark som heter "Matcher".
• CORS-fel i konsolen:  normalt. Appen skickar med no-cors när URL är Apps Script. Raden skrivs ändå.
• Ingen GPS:  kräver HTTPS + tillstånd i telefonen. Fungerar på appens live-URL.
• Platsen är tom i Sheet:  GPS-timeout eller tillstånd nekat. Använd standardplats-fältet i appens inställningar som fallback.</t>
  </si>
  <si>
    <t xml:space="preserve">Apps Script-kod</t>
  </si>
  <si>
    <t xml:space="preserve">Markera cellen nedan, kopiera (Ctrl/Cmd+C) och klistra in i Code.gs i Apps Script. Radera det befintliga innehållet i Code.gs först.</t>
  </si>
  <si>
    <t xml:space="preserve">/**
 * Boule Score Tracker — Google Sheets webhook
 * Tar emot POST-JSON från Boule-appen och sparar en rad per match.
 */
const SHEET_NAME = 'Matcher';
const HEADERS = [
  'Sparad',
  'Startade',
  'Slutade',
  'Tidszon',
  'Plats',
  'Latitud',
  'Longitud',
  'GPS-noggrannhet (m)',
  'Mål',
  'Lag 1',
  'Poäng 1',
  'Lag 2',
  'Poäng 2',
  'Vinnare',
  'Antal omgångar',
  'Omgångar (JSON)',
];
function doPost(e) {
  try {
    const raw = e &amp;&amp; e.postData &amp;&amp; e.postData.contents;
    if (!raw) throw new Error('Tom request body');
    const data = JSON.parse(raw);
    const sheet = getOrCreateSheet_();
    const row = [
      data.savedAt || new Date().toISOString(),
      data.startedAt || '',
      data.endedAt || '',
      data.timezone || '',
      data.place || '',
      data.location ? data.location.lat : '',
      data.location ? data.location.lng : '',
      data.location ? data.location.accuracy : '',
      data.target || '',
      (data.teams &amp;&amp; data.teams[0] &amp;&amp; data.teams[0].name) || '',
      (data.teams &amp;&amp; data.teams[0] &amp;&amp; data.teams[0].score) || 0,
      (data.teams &amp;&amp; data.teams[1] &amp;&amp; data.teams[1].name) || '',
      (data.teams &amp;&amp; data.teams[1] &amp;&amp; data.teams[1].score) || 0,
      data.winner || '',
      (data.rounds &amp;&amp; data.rounds.length) || 0,
      JSON.stringify(data.rounds || []),
    ];
    sheet.appendRow(row);
    return json_({ ok: true, row: sheet.getLastRow() });
  } catch (err) {
    return json_({ ok: false, error: String(err) });
  }
}
function doGet() {
  return json_({
    ok: true,
    service: 'Boule webhook',
    usage: 'POST JSON från Boule-appen till denna URL',
  });
}
function getOrCreateSheet_() {
  const ss = SpreadsheetApp.getActiveSpreadsheet();
  let sheet = ss.getSheetByName(SHEET_NAME);
  if (!sheet) sheet = ss.insertSheet(SHEET_NAME);
  if (sheet.getLastRow() === 0) {
    sheet.appendRow(HEADERS);
    sheet.getRange(1, 1, 1, HEADERS.length).setFontWeight('bold');
    sheet.setFrozenRows(1);
  }
  return sheet;
}
function json_(obj) {
  return ContentService.createTextOutput(JSON.stringify(obj)).setMimeType(
    ContentService.MimeType.JSON,
  );
}
</t>
  </si>
  <si>
    <t xml:space="preserve">Sparad</t>
  </si>
  <si>
    <t xml:space="preserve">Startade</t>
  </si>
  <si>
    <t xml:space="preserve">Slutade</t>
  </si>
  <si>
    <t xml:space="preserve">Tidszon</t>
  </si>
  <si>
    <t xml:space="preserve">Plats</t>
  </si>
  <si>
    <t xml:space="preserve">Latitud</t>
  </si>
  <si>
    <t xml:space="preserve">Longitud</t>
  </si>
  <si>
    <t xml:space="preserve">GPS-noggrannhet (m)</t>
  </si>
  <si>
    <t xml:space="preserve">Mål</t>
  </si>
  <si>
    <t xml:space="preserve">Lag 1</t>
  </si>
  <si>
    <t xml:space="preserve">Poäng 1</t>
  </si>
  <si>
    <t xml:space="preserve">Lag 2</t>
  </si>
  <si>
    <t xml:space="preserve">Poäng 2</t>
  </si>
  <si>
    <t xml:space="preserve">Vinnare</t>
  </si>
  <si>
    <t xml:space="preserve">Antal omgångar</t>
  </si>
  <si>
    <t xml:space="preserve">Omgångar (JSON)</t>
  </si>
  <si>
    <t xml:space="preserve">2026-04-18T20:15:30.000Z</t>
  </si>
  <si>
    <t xml:space="preserve">2026-04-18T19:45:12.000Z</t>
  </si>
  <si>
    <t xml:space="preserve">2026-04-18T20:15:28.000Z</t>
  </si>
  <si>
    <t xml:space="preserve">Europe/Stockholm</t>
  </si>
  <si>
    <t xml:space="preserve">Sexdrega gräsmatta</t>
  </si>
  <si>
    <t xml:space="preserve">Tjejerna</t>
  </si>
  <si>
    <t xml:space="preserve">Killarna</t>
  </si>
  <si>
    <t xml:space="preserve">[{"n":1,"team":"Tjejerna","points":2,"tally":[2,0]}, …]</t>
  </si>
  <si>
    <t xml:space="preserve">Raden ovan är bara ett exempel — du kan radera den. När Apps Script-webhooken är igång kommer varje avslutad match i appen skapa en ny rad här.</t>
  </si>
  <si>
    <t xml:space="preserve">Sammanfattning</t>
  </si>
  <si>
    <t xml:space="preserve">Automatiskt uppdaterad när nya matcher sparas i "Matcher"-fliken.</t>
  </si>
  <si>
    <t xml:space="preserve">Totalt spelade matcher</t>
  </si>
  <si>
    <t xml:space="preserve">Tjejernas segrar</t>
  </si>
  <si>
    <t xml:space="preserve">Killarnas segrar</t>
  </si>
  <si>
    <t xml:space="preserve">Snitt omgångar per match</t>
  </si>
  <si>
    <t xml:space="preserve">Per lag</t>
  </si>
  <si>
    <t xml:space="preserve">Lag</t>
  </si>
  <si>
    <t xml:space="preserve">Segrar</t>
  </si>
  <si>
    <t xml:space="preserve">Totala poäng gjorda</t>
  </si>
  <si>
    <t xml:space="preserve">Senast spelad</t>
  </si>
  <si>
    <t xml:space="preserve">Senaste 5 matcher</t>
  </si>
  <si>
    <t xml:space="preserve">Datum</t>
  </si>
  <si>
    <t xml:space="preserve">Poäng</t>
  </si>
  <si>
    <t xml:space="preserve">Tips: ändra lagnamnen i cell B12 och B13 om ni döper om lagen i appen — formlerna uppdateras automatiskt.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</si>
</sst>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"/>
    <numFmt numFmtId="167" formatCode="#,##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A1F10"/>
      <name val="Calibri"/>
      <family val="0"/>
      <charset val="1"/>
    </font>
    <font>
      <i val="true"/>
      <sz val="12"/>
      <color rgb="FF6E5A3B"/>
      <name val="Calibri"/>
      <family val="0"/>
      <charset val="1"/>
    </font>
    <font>
      <b val="true"/>
      <sz val="14"/>
      <color rgb="FFC14A1F"/>
      <name val="Calibri"/>
      <family val="0"/>
      <charset val="1"/>
    </font>
    <font>
      <sz val="11"/>
      <color rgb="FF2A1F10"/>
      <name val="Calibri"/>
      <family val="0"/>
      <charset val="1"/>
    </font>
    <font>
      <sz val="10"/>
      <color rgb="FF2A1F10"/>
      <name val="Consolas"/>
      <family val="0"/>
      <charset val="1"/>
    </font>
    <font>
      <b val="true"/>
      <sz val="11"/>
      <color rgb="FFFBF5E3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b val="true"/>
      <sz val="11"/>
      <color rgb="FF2A1F10"/>
      <name val="Calibri"/>
      <family val="0"/>
      <charset val="1"/>
    </font>
    <font>
      <b val="true"/>
      <sz val="14"/>
      <color rgb="FF2A1F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BF5E3"/>
        <bgColor rgb="FFFFFFFF"/>
      </patternFill>
    </fill>
    <fill>
      <patternFill patternType="solid">
        <fgColor rgb="FF2A1F1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287"/>
      </left>
      <right style="thin">
        <color rgb="FFC9B287"/>
      </right>
      <top style="thin">
        <color rgb="FFC9B287"/>
      </top>
      <bottom style="thin">
        <color rgb="FFC9B28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287"/>
      <rgbColor rgb="FF808080"/>
      <rgbColor rgb="FF9999FF"/>
      <rgbColor rgb="FF993366"/>
      <rgbColor rgb="FFFBF5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5A3B"/>
      <rgbColor rgb="FF999999"/>
      <rgbColor rgb="FF003366"/>
      <rgbColor rgb="FF339966"/>
      <rgbColor rgb="FF003300"/>
      <rgbColor rgb="FF2A1F10"/>
      <rgbColor rgb="FFC14A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9.75" hidden="false" customHeight="true" outlineLevel="0" collapsed="false"/>
    <row r="5" customFormat="false" ht="24" hidden="false" customHeight="true" outlineLevel="0" collapsed="false">
      <c r="B5" s="3" t="s">
        <v>2</v>
      </c>
    </row>
    <row r="7" customFormat="false" ht="78.75" hidden="false" customHeight="true" outlineLevel="0" collapsed="false">
      <c r="B7" s="4" t="s">
        <v>3</v>
      </c>
    </row>
    <row r="10" customFormat="false" ht="24" hidden="false" customHeight="true" outlineLevel="0" collapsed="false">
      <c r="B10" s="3" t="s">
        <v>4</v>
      </c>
    </row>
    <row r="12" customFormat="false" ht="63.75" hidden="false" customHeight="true" outlineLevel="0" collapsed="false">
      <c r="B12" s="4" t="s">
        <v>5</v>
      </c>
    </row>
    <row r="15" customFormat="false" ht="24" hidden="false" customHeight="true" outlineLevel="0" collapsed="false">
      <c r="B15" s="3" t="s">
        <v>6</v>
      </c>
    </row>
    <row r="17" customFormat="false" ht="33.75" hidden="false" customHeight="true" outlineLevel="0" collapsed="false">
      <c r="B17" s="4" t="s">
        <v>7</v>
      </c>
    </row>
    <row r="20" customFormat="false" ht="24" hidden="false" customHeight="true" outlineLevel="0" collapsed="false">
      <c r="B20" s="3" t="s">
        <v>8</v>
      </c>
    </row>
    <row r="22" customFormat="false" ht="198.75" hidden="false" customHeight="true" outlineLevel="0" collapsed="false">
      <c r="B22" s="4" t="s">
        <v>9</v>
      </c>
    </row>
    <row r="25" customFormat="false" ht="24" hidden="false" customHeight="true" outlineLevel="0" collapsed="false">
      <c r="B25" s="3" t="s">
        <v>10</v>
      </c>
    </row>
    <row r="27" customFormat="false" ht="108.75" hidden="false" customHeight="true" outlineLevel="0" collapsed="false">
      <c r="B27" s="4" t="s">
        <v>11</v>
      </c>
    </row>
    <row r="30" customFormat="false" ht="24" hidden="false" customHeight="true" outlineLevel="0" collapsed="false">
      <c r="B30" s="3" t="s">
        <v>12</v>
      </c>
    </row>
    <row r="32" customFormat="false" ht="63.75" hidden="false" customHeight="true" outlineLevel="0" collapsed="false">
      <c r="B32" s="4" t="s">
        <v>13</v>
      </c>
    </row>
    <row r="35" customFormat="false" ht="24" hidden="false" customHeight="true" outlineLevel="0" collapsed="false">
      <c r="B35" s="3" t="s">
        <v>14</v>
      </c>
    </row>
    <row r="37" customFormat="false" ht="48.75" hidden="false" customHeight="true" outlineLevel="0" collapsed="false">
      <c r="B37" s="4" t="s">
        <v>15</v>
      </c>
    </row>
    <row r="40" customFormat="false" ht="24" hidden="false" customHeight="true" outlineLevel="0" collapsed="false">
      <c r="B40" s="3" t="s">
        <v>16</v>
      </c>
    </row>
    <row r="42" customFormat="false" ht="78.75" hidden="false" customHeight="true" outlineLevel="0" collapsed="false">
      <c r="B4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31.5" hidden="false" customHeight="true" outlineLevel="0" collapsed="false">
      <c r="B2" s="1" t="s">
        <v>18</v>
      </c>
    </row>
    <row r="3" customFormat="false" ht="31.5" hidden="false" customHeight="true" outlineLevel="0" collapsed="false">
      <c r="B3" s="5" t="s">
        <v>19</v>
      </c>
    </row>
    <row r="5" customFormat="false" ht="1209.75" hidden="false" customHeight="true" outlineLevel="0" collapsed="false">
      <c r="B5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50"/>
  </cols>
  <sheetData>
    <row r="1" customFormat="false" ht="30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</row>
    <row r="2" customFormat="false" ht="15" hidden="false" customHeight="false" outlineLevel="0" collapsed="false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9" t="n">
        <v>57.82015</v>
      </c>
      <c r="G2" s="9" t="n">
        <v>13.19043</v>
      </c>
      <c r="H2" s="10" t="n">
        <v>15</v>
      </c>
      <c r="I2" s="10" t="n">
        <v>13</v>
      </c>
      <c r="J2" s="8" t="s">
        <v>42</v>
      </c>
      <c r="K2" s="10" t="n">
        <v>13</v>
      </c>
      <c r="L2" s="8" t="s">
        <v>43</v>
      </c>
      <c r="M2" s="10" t="n">
        <v>9</v>
      </c>
      <c r="N2" s="8" t="s">
        <v>42</v>
      </c>
      <c r="O2" s="10" t="n">
        <v>11</v>
      </c>
      <c r="P2" s="8" t="s">
        <v>44</v>
      </c>
    </row>
    <row r="4" customFormat="false" ht="15" hidden="false" customHeight="true" outlineLevel="0" collapsed="false">
      <c r="A4" s="11" t="s">
        <v>45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</sheetData>
  <mergeCells count="1"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4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1" t="s">
        <v>46</v>
      </c>
    </row>
    <row r="3" customFormat="false" ht="19.5" hidden="false" customHeight="true" outlineLevel="0" collapsed="false">
      <c r="B3" s="2" t="s">
        <v>47</v>
      </c>
    </row>
    <row r="4" customFormat="false" ht="9.75" hidden="false" customHeight="true" outlineLevel="0" collapsed="false"/>
    <row r="5" customFormat="false" ht="19.5" hidden="false" customHeight="true" outlineLevel="0" collapsed="false">
      <c r="B5" s="12" t="s">
        <v>48</v>
      </c>
      <c r="C5" s="13" t="n">
        <f aca="false">COUNTA(Matcher!N:N)-1</f>
        <v>1</v>
      </c>
    </row>
    <row r="6" customFormat="false" ht="19.5" hidden="false" customHeight="true" outlineLevel="0" collapsed="false">
      <c r="B6" s="12" t="s">
        <v>49</v>
      </c>
      <c r="C6" s="13" t="n">
        <f aca="false">COUNTIF(Matcher!N:N,"Tjejerna")</f>
        <v>1</v>
      </c>
    </row>
    <row r="7" customFormat="false" ht="19.5" hidden="false" customHeight="true" outlineLevel="0" collapsed="false">
      <c r="B7" s="12" t="s">
        <v>50</v>
      </c>
      <c r="C7" s="13" t="n">
        <f aca="false">COUNTIF(Matcher!N:N,"Killarna")</f>
        <v>0</v>
      </c>
    </row>
    <row r="8" customFormat="false" ht="19.5" hidden="false" customHeight="true" outlineLevel="0" collapsed="false">
      <c r="B8" s="12" t="s">
        <v>51</v>
      </c>
      <c r="C8" s="14" t="n">
        <f aca="false">IFERROR(AVERAGE(Matcher!O2:O1000),0)</f>
        <v>11</v>
      </c>
    </row>
    <row r="10" customFormat="false" ht="24" hidden="false" customHeight="true" outlineLevel="0" collapsed="false">
      <c r="B10" s="15" t="s">
        <v>52</v>
      </c>
    </row>
    <row r="11" customFormat="false" ht="21.75" hidden="false" customHeight="true" outlineLevel="0" collapsed="false">
      <c r="B11" s="16" t="s">
        <v>53</v>
      </c>
      <c r="C11" s="16" t="s">
        <v>54</v>
      </c>
      <c r="D11" s="16" t="s">
        <v>55</v>
      </c>
      <c r="E11" s="16" t="s">
        <v>56</v>
      </c>
    </row>
    <row r="12" customFormat="false" ht="19.5" hidden="false" customHeight="true" outlineLevel="0" collapsed="false">
      <c r="B12" s="17" t="s">
        <v>42</v>
      </c>
      <c r="C12" s="18" t="n">
        <f aca="false">COUNTIF(Matcher!N:N,B12)</f>
        <v>1</v>
      </c>
      <c r="D12" s="18" t="n">
        <f aca="false">SUMIF(Matcher!J:J,B12,Matcher!K:K)+SUMIF(Matcher!L:L,B12,Matcher!M:M)</f>
        <v>13</v>
      </c>
      <c r="E12" s="19" t="str">
        <f aca="false">IFERROR(maxifs(Matcher!C:C,Matcher!N:N,B12),"—")</f>
        <v>—</v>
      </c>
    </row>
    <row r="13" customFormat="false" ht="19.5" hidden="false" customHeight="true" outlineLevel="0" collapsed="false">
      <c r="B13" s="17" t="s">
        <v>43</v>
      </c>
      <c r="C13" s="18" t="n">
        <f aca="false">COUNTIF(Matcher!N:N,B13)</f>
        <v>0</v>
      </c>
      <c r="D13" s="18" t="n">
        <f aca="false">SUMIF(Matcher!J:J,B13,Matcher!K:K)+SUMIF(Matcher!L:L,B13,Matcher!M:M)</f>
        <v>9</v>
      </c>
      <c r="E13" s="19" t="str">
        <f aca="false">IFERROR(maxifs(Matcher!C:C,Matcher!N:N,B13),"—")</f>
        <v>—</v>
      </c>
    </row>
    <row r="15" customFormat="false" ht="24" hidden="false" customHeight="true" outlineLevel="0" collapsed="false">
      <c r="B15" s="15" t="s">
        <v>57</v>
      </c>
    </row>
    <row r="16" customFormat="false" ht="21.75" hidden="false" customHeight="true" outlineLevel="0" collapsed="false">
      <c r="B16" s="16" t="s">
        <v>58</v>
      </c>
      <c r="C16" s="16" t="s">
        <v>30</v>
      </c>
      <c r="D16" s="16" t="s">
        <v>59</v>
      </c>
      <c r="E16" s="16" t="s">
        <v>32</v>
      </c>
      <c r="F16" s="16" t="s">
        <v>34</v>
      </c>
    </row>
    <row r="17" customFormat="false" ht="19.5" hidden="false" customHeight="true" outlineLevel="0" collapsed="false">
      <c r="B17" s="20" t="n">
        <f aca="false">IFERROR(INDEX(Matcher!C:C,COUNTA(Matcher!A:A)-1-0+1),"—")</f>
        <v>0</v>
      </c>
      <c r="C17" s="20" t="n">
        <f aca="false">IFERROR(INDEX(Matcher!J:J,COUNTA(Matcher!A:A)-1-0+1),"—")</f>
        <v>0</v>
      </c>
      <c r="D17" s="20" t="str">
        <f aca="false">IFERROR(INDEX(Matcher!K:K,COUNTA(Matcher!A:A)-1-0+1)&amp;" – "&amp;INDEX(Matcher!M:M,COUNTA(Matcher!A:A)-1-0+1),"—")</f>
        <v> – </v>
      </c>
      <c r="E17" s="20" t="n">
        <f aca="false">IFERROR(INDEX(Matcher!L:L,COUNTA(Matcher!A:A)-1-0+1),"—")</f>
        <v>0</v>
      </c>
      <c r="F17" s="20" t="n">
        <f aca="false">IFERROR(INDEX(Matcher!N:N,COUNTA(Matcher!A:A)-1-0+1),"—")</f>
        <v>0</v>
      </c>
    </row>
    <row r="18" customFormat="false" ht="19.5" hidden="false" customHeight="true" outlineLevel="0" collapsed="false">
      <c r="B18" s="20" t="str">
        <f aca="false">IFERROR(INDEX(Matcher!C:C,COUNTA(Matcher!A:A)-1-1+1),"—")</f>
        <v>2026-04-18T20:15:28.000Z</v>
      </c>
      <c r="C18" s="20" t="str">
        <f aca="false">IFERROR(INDEX(Matcher!J:J,COUNTA(Matcher!A:A)-1-1+1),"—")</f>
        <v>Tjejerna</v>
      </c>
      <c r="D18" s="20" t="str">
        <f aca="false">IFERROR(INDEX(Matcher!K:K,COUNTA(Matcher!A:A)-1-1+1)&amp;" – "&amp;INDEX(Matcher!M:M,COUNTA(Matcher!A:A)-1-1+1),"—")</f>
        <v>13 – 9</v>
      </c>
      <c r="E18" s="20" t="str">
        <f aca="false">IFERROR(INDEX(Matcher!L:L,COUNTA(Matcher!A:A)-1-1+1),"—")</f>
        <v>Killarna</v>
      </c>
      <c r="F18" s="20" t="str">
        <f aca="false">IFERROR(INDEX(Matcher!N:N,COUNTA(Matcher!A:A)-1-1+1),"—")</f>
        <v>Tjejerna</v>
      </c>
    </row>
    <row r="19" customFormat="false" ht="19.5" hidden="false" customHeight="true" outlineLevel="0" collapsed="false">
      <c r="B19" s="20" t="str">
        <f aca="false">IFERROR(INDEX(Matcher!C:C,COUNTA(Matcher!A:A)-1-2+1),"—")</f>
        <v>Slutade</v>
      </c>
      <c r="C19" s="20" t="str">
        <f aca="false">IFERROR(INDEX(Matcher!J:J,COUNTA(Matcher!A:A)-1-2+1),"—")</f>
        <v>Lag 1</v>
      </c>
      <c r="D19" s="20" t="str">
        <f aca="false">IFERROR(INDEX(Matcher!K:K,COUNTA(Matcher!A:A)-1-2+1)&amp;" – "&amp;INDEX(Matcher!M:M,COUNTA(Matcher!A:A)-1-2+1),"—")</f>
        <v>Poäng 1 – Poäng 2</v>
      </c>
      <c r="E19" s="20" t="str">
        <f aca="false">IFERROR(INDEX(Matcher!L:L,COUNTA(Matcher!A:A)-1-2+1),"—")</f>
        <v>Lag 2</v>
      </c>
      <c r="F19" s="20" t="str">
        <f aca="false">IFERROR(INDEX(Matcher!N:N,COUNTA(Matcher!A:A)-1-2+1),"—")</f>
        <v>Vinnare</v>
      </c>
    </row>
    <row r="20" customFormat="false" ht="19.5" hidden="false" customHeight="true" outlineLevel="0" collapsed="false">
      <c r="B20" s="20" t="n">
        <f aca="false">IFERROR(INDEX(Matcher!C:C,COUNTA(Matcher!A:A)-1-3+1),"—")</f>
        <v>0</v>
      </c>
      <c r="C20" s="20" t="n">
        <f aca="false">IFERROR(INDEX(Matcher!J:J,COUNTA(Matcher!A:A)-1-3+1),"—")</f>
        <v>0</v>
      </c>
      <c r="D20" s="20" t="str">
        <f aca="false">IFERROR(INDEX(Matcher!K:K,COUNTA(Matcher!A:A)-1-3+1)&amp;" – "&amp;INDEX(Matcher!M:M,COUNTA(Matcher!A:A)-1-3+1),"—")</f>
        <v> – </v>
      </c>
      <c r="E20" s="20" t="n">
        <f aca="false">IFERROR(INDEX(Matcher!L:L,COUNTA(Matcher!A:A)-1-3+1),"—")</f>
        <v>0</v>
      </c>
      <c r="F20" s="20" t="n">
        <f aca="false">IFERROR(INDEX(Matcher!N:N,COUNTA(Matcher!A:A)-1-3+1),"—")</f>
        <v>0</v>
      </c>
    </row>
    <row r="21" customFormat="false" ht="19.5" hidden="false" customHeight="true" outlineLevel="0" collapsed="false">
      <c r="B21" s="20" t="str">
        <f aca="false">IFERROR(INDEX(Matcher!C:C,COUNTA(Matcher!A:A)-1-4+1),"—")</f>
        <v>—</v>
      </c>
      <c r="C21" s="20" t="str">
        <f aca="false">IFERROR(INDEX(Matcher!J:J,COUNTA(Matcher!A:A)-1-4+1),"—")</f>
        <v>—</v>
      </c>
      <c r="D21" s="20" t="str">
        <f aca="false">IFERROR(INDEX(Matcher!K:K,COUNTA(Matcher!A:A)-1-4+1)&amp;" – "&amp;INDEX(Matcher!M:M,COUNTA(Matcher!A:A)-1-4+1),"—")</f>
        <v>—</v>
      </c>
      <c r="E21" s="20" t="str">
        <f aca="false">IFERROR(INDEX(Matcher!L:L,COUNTA(Matcher!A:A)-1-4+1),"—")</f>
        <v>—</v>
      </c>
      <c r="F21" s="20" t="str">
        <f aca="false">IFERROR(INDEX(Matcher!N:N,COUNTA(Matcher!A:A)-1-4+1),"—")</f>
        <v>—</v>
      </c>
    </row>
    <row r="24" customFormat="false" ht="15" hidden="false" customHeight="false" outlineLevel="0" collapsed="false">
      <c r="B24" s="21" t="s">
        <v>60</v>
      </c>
      <c r="C24" s="21"/>
      <c r="D24" s="21"/>
      <c r="E24" s="21"/>
      <c r="F24" s="21"/>
    </row>
  </sheetData>
  <mergeCells count="1"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2026-04-18T20:48:46Z</dcterms:created>
  <dc:creator>openpyxl</dc:creator>
  <dc:description/>
  <dc:language>en-US</dc:language>
  <cp:lastModifiedBy/>
  <dcterms:modified xsi:type="dcterms:W3CDTF">2026-04-18T20:48:46Z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